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enhulp" sheetId="1" state="visible" r:id="rId1"/>
    <sheet name="Marktprijzen" sheetId="2" state="visible" r:id="rId2"/>
    <sheet name="Toeslagen &amp; kost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0.0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B6B6B"/>
      <sz val="9"/>
    </font>
    <font>
      <b val="1"/>
      <color rgb="00FFFFFF"/>
      <sz val="11"/>
    </font>
    <font>
      <b val="1"/>
      <color rgb="0015171C"/>
    </font>
    <font>
      <b val="1"/>
      <color rgb="00FF5A1F"/>
      <sz val="12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FF5A1F"/>
      </patternFill>
    </fill>
    <fill>
      <patternFill patternType="solid">
        <fgColor rgb="0015171C"/>
      </patternFill>
    </fill>
    <fill>
      <patternFill patternType="solid">
        <fgColor rgb="00FFF8E6"/>
      </patternFill>
    </fill>
    <fill>
      <patternFill patternType="solid">
        <fgColor rgb="00FFF1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164" fontId="4" fillId="4" borderId="1" applyAlignment="1" pivotButton="0" quotePrefix="0" xfId="0">
      <alignment horizontal="right" vertical="center"/>
    </xf>
    <xf numFmtId="9" fontId="4" fillId="4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4" fillId="5" borderId="1" pivotButton="0" quotePrefix="0" xfId="0"/>
    <xf numFmtId="164" fontId="5" fillId="5" borderId="1" applyAlignment="1" pivotButton="0" quotePrefix="0" xfId="0">
      <alignment horizontal="right" vertical="center"/>
    </xf>
    <xf numFmtId="9" fontId="0" fillId="0" borderId="1" applyAlignment="1" pivotButton="0" quotePrefix="0" xfId="0">
      <alignment horizontal="right" vertical="center"/>
    </xf>
    <xf numFmtId="0" fontId="1" fillId="2" borderId="0" pivotButton="0" quotePrefix="0" xfId="0"/>
    <xf numFmtId="0" fontId="6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6" customWidth="1" min="3" max="3"/>
    <col width="40" customWidth="1" min="4" max="4"/>
  </cols>
  <sheetData>
    <row r="2" ht="30" customHeight="1">
      <c r="B2" s="1" t="inlineStr">
        <is>
          <t>FOERT — prijs-rekenhulp</t>
        </is>
      </c>
    </row>
    <row r="3">
      <c r="B3" s="2" t="inlineStr">
        <is>
          <t>Vul de gele cellen in. De rest rekent zichzelf uit.</t>
        </is>
      </c>
    </row>
    <row r="5" ht="22" customHeight="1">
      <c r="B5" s="3" t="inlineStr">
        <is>
          <t>1. INSTELLINGEN  (jouw eigen tarieven — pas aan)</t>
        </is>
      </c>
    </row>
    <row r="6">
      <c r="B6" s="4" t="inlineStr">
        <is>
          <t>Stortkost per kg (recyclagepark)</t>
        </is>
      </c>
      <c r="C6" s="5" t="n">
        <v>0.35</v>
      </c>
      <c r="D6" s="2" t="inlineStr">
        <is>
          <t>2026 ± 0,35 €/kg. Check je lokale park.</t>
        </is>
      </c>
    </row>
    <row r="7">
      <c r="B7" s="4" t="inlineStr">
        <is>
          <t>Voertuigkost per km</t>
        </is>
      </c>
      <c r="C7" s="5" t="n">
        <v>0.3</v>
      </c>
      <c r="D7" s="2" t="inlineStr">
        <is>
          <t>Brandstof + slijtage bestelwagen.</t>
        </is>
      </c>
    </row>
    <row r="8">
      <c r="B8" s="4" t="inlineStr">
        <is>
          <t>Eigen uurkost per persoon</t>
        </is>
      </c>
      <c r="C8" s="5" t="n">
        <v>25</v>
      </c>
      <c r="D8" s="2" t="inlineStr">
        <is>
          <t>Wat jullie uur jullie 'kost' (loon).</t>
        </is>
      </c>
    </row>
    <row r="9">
      <c r="B9" s="4" t="inlineStr">
        <is>
          <t>Verkooptarief per m³</t>
        </is>
      </c>
      <c r="C9" s="5" t="n">
        <v>35</v>
      </c>
      <c r="D9" s="2" t="inlineStr">
        <is>
          <t>Markt: 25–45 €/m³.</t>
        </is>
      </c>
    </row>
    <row r="10">
      <c r="B10" s="4" t="inlineStr">
        <is>
          <t>Verkooptarief per manuur</t>
        </is>
      </c>
      <c r="C10" s="5" t="n">
        <v>50</v>
      </c>
      <c r="D10" s="2" t="inlineStr">
        <is>
          <t>Markt: 40–60 €/persoon/uur.</t>
        </is>
      </c>
    </row>
    <row r="11">
      <c r="B11" s="4" t="inlineStr">
        <is>
          <t>Gewenste marge op kostprijs</t>
        </is>
      </c>
      <c r="C11" s="6" t="n">
        <v>0.4</v>
      </c>
      <c r="D11" s="2" t="inlineStr">
        <is>
          <t>0,40 = 40% winst op je kosten.</t>
        </is>
      </c>
    </row>
    <row r="12">
      <c r="B12" s="4" t="inlineStr">
        <is>
          <t>Minimumprijs per klus</t>
        </is>
      </c>
      <c r="C12" s="5" t="n">
        <v>200</v>
      </c>
      <c r="D12" s="2" t="inlineStr">
        <is>
          <t>Onder dit bedrag niet rendabel.</t>
        </is>
      </c>
    </row>
    <row r="13">
      <c r="B13" s="4" t="inlineStr">
        <is>
          <t>Vuistregel kg per m³</t>
        </is>
      </c>
      <c r="C13" s="7" t="n">
        <v>90</v>
      </c>
      <c r="D13" s="2" t="inlineStr">
        <is>
          <t>Huisraad ± 80–100 kg/m³.</t>
        </is>
      </c>
    </row>
    <row r="16" ht="22" customHeight="1">
      <c r="B16" s="3" t="inlineStr">
        <is>
          <t>2. JOUW KLUS  (vul in per opdracht)</t>
        </is>
      </c>
    </row>
    <row r="17">
      <c r="B17" s="4" t="inlineStr">
        <is>
          <t>Volume rommel (m³)</t>
        </is>
      </c>
      <c r="C17" s="8" t="n">
        <v>30</v>
      </c>
      <c r="D17" s="2" t="inlineStr">
        <is>
          <t>Schat op basis van foto's.</t>
        </is>
      </c>
    </row>
    <row r="18">
      <c r="B18" s="4" t="inlineStr">
        <is>
          <t>Afvalgewicht (kg) — leeg = schatting via m³</t>
        </is>
      </c>
      <c r="C18" s="7" t="n"/>
      <c r="D18" s="2" t="inlineStr">
        <is>
          <t>Laat leeg om automatisch te schatten.</t>
        </is>
      </c>
    </row>
    <row r="19">
      <c r="B19" s="4" t="inlineStr">
        <is>
          <t>Aantal personen</t>
        </is>
      </c>
      <c r="C19" s="7" t="n">
        <v>2</v>
      </c>
    </row>
    <row r="20">
      <c r="B20" s="4" t="inlineStr">
        <is>
          <t>Aantal uren op de klus</t>
        </is>
      </c>
      <c r="C20" s="8" t="n">
        <v>6</v>
      </c>
    </row>
    <row r="21">
      <c r="B21" s="4" t="inlineStr">
        <is>
          <t>Afstand heen + terug (km)</t>
        </is>
      </c>
      <c r="C21" s="7" t="n">
        <v>40</v>
      </c>
    </row>
    <row r="22">
      <c r="B22" s="4" t="inlineStr">
        <is>
          <t>Weekend / spoed toeslag</t>
        </is>
      </c>
      <c r="C22" s="6" t="n">
        <v>0</v>
      </c>
      <c r="D22" s="2" t="inlineStr">
        <is>
          <t>0,20 = +20%.</t>
        </is>
      </c>
    </row>
    <row r="23">
      <c r="B23" s="4" t="inlineStr">
        <is>
          <t>Restwaarde inboedel (aftrek)</t>
        </is>
      </c>
      <c r="C23" s="5" t="n">
        <v>0</v>
      </c>
      <c r="D23" s="2" t="inlineStr">
        <is>
          <t>Wat je recupereert: metaal, meubels…</t>
        </is>
      </c>
    </row>
    <row r="24">
      <c r="B24" s="4" t="inlineStr">
        <is>
          <t>Materiaal / diversen</t>
        </is>
      </c>
      <c r="C24" s="5" t="n">
        <v>20</v>
      </c>
      <c r="D24" s="2" t="inlineStr">
        <is>
          <t>Zakken, klein materiaal, containerhuur…</t>
        </is>
      </c>
    </row>
    <row r="27" ht="22" customHeight="1">
      <c r="B27" s="3" t="inlineStr">
        <is>
          <t>3. JOUW KOSTEN</t>
        </is>
      </c>
    </row>
    <row r="28">
      <c r="B28" s="4" t="inlineStr">
        <is>
          <t>Geschat afvalgewicht (kg)</t>
        </is>
      </c>
      <c r="C28" s="9">
        <f>IF(C18="",C17*C13,C18)</f>
        <v/>
      </c>
      <c r="D28" s="2" t="inlineStr">
        <is>
          <t>Automatisch of jouw invoer.</t>
        </is>
      </c>
    </row>
    <row r="29">
      <c r="B29" s="4" t="inlineStr">
        <is>
          <t>Stortkosten</t>
        </is>
      </c>
      <c r="C29" s="10">
        <f>C28*C6</f>
        <v/>
      </c>
    </row>
    <row r="30">
      <c r="B30" s="4" t="inlineStr">
        <is>
          <t>Voertuig / brandstof</t>
        </is>
      </c>
      <c r="C30" s="10">
        <f>C21*C7</f>
        <v/>
      </c>
    </row>
    <row r="31">
      <c r="B31" s="4" t="inlineStr">
        <is>
          <t>Loonkost (personen × uren × uurkost)</t>
        </is>
      </c>
      <c r="C31" s="10">
        <f>C19*C20*C8</f>
        <v/>
      </c>
    </row>
    <row r="32">
      <c r="B32" s="4" t="inlineStr">
        <is>
          <t>Materiaal / diversen</t>
        </is>
      </c>
      <c r="C32" s="10">
        <f>C24</f>
        <v/>
      </c>
    </row>
    <row r="33">
      <c r="B33" s="4" t="inlineStr">
        <is>
          <t>Restwaarde inboedel (−)</t>
        </is>
      </c>
      <c r="C33" s="10">
        <f>-C23</f>
        <v/>
      </c>
    </row>
    <row r="34">
      <c r="B34" s="11" t="inlineStr">
        <is>
          <t>TOTALE KOSTPRIJS</t>
        </is>
      </c>
      <c r="C34" s="12">
        <f>SUM(C29:C33)</f>
        <v/>
      </c>
    </row>
    <row r="37" ht="22" customHeight="1">
      <c r="B37" s="3" t="inlineStr">
        <is>
          <t>4. RICHTPRIJS  (3 methodes — kies of neem gemiddelde)</t>
        </is>
      </c>
    </row>
    <row r="38">
      <c r="B38" s="4" t="inlineStr">
        <is>
          <t>Methode A — per m³</t>
        </is>
      </c>
      <c r="C38" s="10">
        <f>MAX(C17*C9*(1+C22),C12)</f>
        <v/>
      </c>
      <c r="D38" s="2" t="inlineStr">
        <is>
          <t>Volume × tarief/m³.</t>
        </is>
      </c>
    </row>
    <row r="39">
      <c r="B39" s="4" t="inlineStr">
        <is>
          <t>Methode B — per uur + stortkosten</t>
        </is>
      </c>
      <c r="C39" s="10">
        <f>MAX((C19*C20*C10+C29)*(1+C22),C12)</f>
        <v/>
      </c>
      <c r="D39" s="2" t="inlineStr">
        <is>
          <t>Manuren × uurtarief + afvoer.</t>
        </is>
      </c>
    </row>
    <row r="40">
      <c r="B40" s="4" t="inlineStr">
        <is>
          <t>Methode C — kostprijs + marge</t>
        </is>
      </c>
      <c r="C40" s="10">
        <f>MAX(C34*(1+C11)*(1+C22),C12)</f>
        <v/>
      </c>
      <c r="D40" s="2" t="inlineStr">
        <is>
          <t>Kostprijs + jouw marge.</t>
        </is>
      </c>
    </row>
    <row r="41">
      <c r="B41" s="11" t="inlineStr">
        <is>
          <t>GEMIDDELDE RICHTPRIJS</t>
        </is>
      </c>
      <c r="C41" s="12">
        <f>AVERAGE(C38:C40)</f>
        <v/>
      </c>
    </row>
    <row r="44" ht="22" customHeight="1">
      <c r="B44" s="3" t="inlineStr">
        <is>
          <t>5. RESULTAAT  (bij gemiddelde richtprijs)</t>
        </is>
      </c>
    </row>
    <row r="45">
      <c r="B45" s="4" t="inlineStr">
        <is>
          <t>Richtprijs (excl. btw)</t>
        </is>
      </c>
      <c r="C45" s="10">
        <f>C41</f>
        <v/>
      </c>
    </row>
    <row r="46">
      <c r="B46" s="4" t="inlineStr">
        <is>
          <t>Richtprijs incl. 21% btw</t>
        </is>
      </c>
      <c r="C46" s="10">
        <f>C41*1.21</f>
        <v/>
      </c>
      <c r="D46" s="2" t="inlineStr">
        <is>
          <t>Indien btw-plichtig en aan particulier.</t>
        </is>
      </c>
    </row>
    <row r="47">
      <c r="B47" s="4" t="inlineStr">
        <is>
          <t>Jouw kostprijs</t>
        </is>
      </c>
      <c r="C47" s="10">
        <f>C34</f>
        <v/>
      </c>
    </row>
    <row r="48">
      <c r="B48" s="11" t="inlineStr">
        <is>
          <t>WINST (€)</t>
        </is>
      </c>
      <c r="C48" s="12">
        <f>C45-C47</f>
        <v/>
      </c>
    </row>
    <row r="49">
      <c r="B49" s="4" t="inlineStr">
        <is>
          <t>Winstmarge (%)</t>
        </is>
      </c>
      <c r="C49" s="13">
        <f>IF(C45=0,0,(C45-C47)/C45)</f>
        <v/>
      </c>
    </row>
    <row r="50">
      <c r="B50" s="4" t="inlineStr">
        <is>
          <t>Winst per persoon</t>
        </is>
      </c>
      <c r="C50" s="10">
        <f>C48/C19</f>
        <v/>
      </c>
    </row>
    <row r="52">
      <c r="B52" s="2" t="inlineStr">
        <is>
          <t>Let op: richtcijfers, geen vast tarief of fiscaal advies. Reken 1× je echte kostprijs op een proefklus.</t>
        </is>
      </c>
    </row>
  </sheetData>
  <mergeCells count="8">
    <mergeCell ref="B3:D3"/>
    <mergeCell ref="B5:D5"/>
    <mergeCell ref="B37:D37"/>
    <mergeCell ref="B27:D27"/>
    <mergeCell ref="B2:D2"/>
    <mergeCell ref="B52:D52"/>
    <mergeCell ref="B44:D44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22" customWidth="1" min="4" max="4"/>
  </cols>
  <sheetData>
    <row r="2" ht="28" customHeight="1">
      <c r="B2" s="14" t="inlineStr">
        <is>
          <t>Marktprijzen — wat klanten betalen</t>
        </is>
      </c>
    </row>
    <row r="4">
      <c r="B4" s="15" t="inlineStr">
        <is>
          <t>Per eenheid</t>
        </is>
      </c>
      <c r="C4" s="15" t="inlineStr">
        <is>
          <t>Prijs</t>
        </is>
      </c>
      <c r="D4" s="15" t="inlineStr"/>
    </row>
    <row r="5">
      <c r="B5" s="16" t="inlineStr">
        <is>
          <t>Per m³ rommel</t>
        </is>
      </c>
      <c r="C5" s="16" t="inlineStr">
        <is>
          <t>25 – 45 €</t>
        </is>
      </c>
      <c r="D5" s="16" t="inlineStr"/>
    </row>
    <row r="6">
      <c r="B6" s="16" t="inlineStr">
        <is>
          <t>Per uur per persoon</t>
        </is>
      </c>
      <c r="C6" s="16" t="inlineStr">
        <is>
          <t>40 – 60 €</t>
        </is>
      </c>
      <c r="D6" s="16" t="inlineStr">
        <is>
          <t>+ stortkosten</t>
        </is>
      </c>
    </row>
    <row r="8">
      <c r="B8" s="15" t="inlineStr">
        <is>
          <t>Type woning</t>
        </is>
      </c>
      <c r="C8" s="15" t="inlineStr">
        <is>
          <t>Volume</t>
        </is>
      </c>
      <c r="D8" s="15" t="inlineStr">
        <is>
          <t>Totaalprijs</t>
        </is>
      </c>
    </row>
    <row r="9">
      <c r="B9" s="16" t="inlineStr">
        <is>
          <t>Seniorenkamer</t>
        </is>
      </c>
      <c r="C9" s="16" t="inlineStr">
        <is>
          <t>klein</t>
        </is>
      </c>
      <c r="D9" s="16" t="inlineStr">
        <is>
          <t>250 – 450 €</t>
        </is>
      </c>
    </row>
    <row r="10">
      <c r="B10" s="16" t="inlineStr">
        <is>
          <t>Studio</t>
        </is>
      </c>
      <c r="C10" s="16" t="inlineStr">
        <is>
          <t>10–15 m³</t>
        </is>
      </c>
      <c r="D10" s="16" t="inlineStr">
        <is>
          <t>500 – 1.000 €</t>
        </is>
      </c>
    </row>
    <row r="11">
      <c r="B11" s="16" t="inlineStr">
        <is>
          <t>Appartement</t>
        </is>
      </c>
      <c r="C11" s="16" t="inlineStr">
        <is>
          <t>20–35 m³</t>
        </is>
      </c>
      <c r="D11" s="16" t="inlineStr">
        <is>
          <t>1.000 – 2.000 €</t>
        </is>
      </c>
    </row>
    <row r="12">
      <c r="B12" s="16" t="inlineStr">
        <is>
          <t>Gezinswoning</t>
        </is>
      </c>
      <c r="C12" s="16" t="inlineStr">
        <is>
          <t>40–60 m³</t>
        </is>
      </c>
      <c r="D12" s="16" t="inlineStr">
        <is>
          <t>1.500 – 3.000 €</t>
        </is>
      </c>
    </row>
    <row r="13">
      <c r="B13" s="16" t="inlineStr">
        <is>
          <t>Volle woning + zolder/kelder</t>
        </is>
      </c>
      <c r="C13" s="16" t="inlineStr">
        <is>
          <t>80 m³+</t>
        </is>
      </c>
      <c r="D13" s="16" t="inlineStr">
        <is>
          <t>tot 4.000 €</t>
        </is>
      </c>
    </row>
    <row r="14">
      <c r="B14" s="16" t="inlineStr">
        <is>
          <t>Sterk vervuild / hoarding</t>
        </is>
      </c>
      <c r="C14" s="16" t="inlineStr">
        <is>
          <t>—</t>
        </is>
      </c>
      <c r="D14" s="16" t="inlineStr">
        <is>
          <t>vanaf 1.500 €</t>
        </is>
      </c>
    </row>
    <row r="16">
      <c r="B16" s="2" t="inlineStr">
        <is>
          <t>Bron: Verhuiskampioen, Jacobs Opruimdiensten, Uw Inboedel Service e.a. (2026)</t>
        </is>
      </c>
    </row>
  </sheetData>
  <mergeCells count="2">
    <mergeCell ref="B16:D16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6" customWidth="1" min="3" max="3"/>
  </cols>
  <sheetData>
    <row r="2" ht="28" customHeight="1">
      <c r="B2" s="14" t="inlineStr">
        <is>
          <t>Toeslagen, kosten &amp; afvaltarieven</t>
        </is>
      </c>
    </row>
    <row r="4">
      <c r="B4" s="15" t="inlineStr">
        <is>
          <t>Verhoogt de prijs</t>
        </is>
      </c>
      <c r="C4" s="15" t="inlineStr">
        <is>
          <t>Bedrag</t>
        </is>
      </c>
    </row>
    <row r="5">
      <c r="B5" s="16" t="inlineStr">
        <is>
          <t>Weekend / spoedontruiming</t>
        </is>
      </c>
      <c r="C5" s="16" t="inlineStr">
        <is>
          <t>+20 – 40%</t>
        </is>
      </c>
    </row>
    <row r="6">
      <c r="B6" s="16" t="inlineStr">
        <is>
          <t>Verdieping zonder lift</t>
        </is>
      </c>
      <c r="C6" s="16" t="inlineStr">
        <is>
          <t>extra uren / ladderlift</t>
        </is>
      </c>
    </row>
    <row r="7">
      <c r="B7" s="16" t="inlineStr">
        <is>
          <t>Schoonmaak na ontruiming</t>
        </is>
      </c>
      <c r="C7" s="16" t="inlineStr">
        <is>
          <t>± 20 €/uur</t>
        </is>
      </c>
    </row>
    <row r="8">
      <c r="B8" s="16" t="inlineStr">
        <is>
          <t>Tapijt/vloer verwijderen</t>
        </is>
      </c>
      <c r="C8" s="16" t="inlineStr">
        <is>
          <t>± 2,50 €/m²</t>
        </is>
      </c>
    </row>
    <row r="9">
      <c r="B9" s="16" t="inlineStr">
        <is>
          <t>Voorrijkosten</t>
        </is>
      </c>
      <c r="C9" s="16" t="inlineStr">
        <is>
          <t>0,25 – 0,50 €/km</t>
        </is>
      </c>
    </row>
    <row r="10">
      <c r="B10" s="16" t="inlineStr">
        <is>
          <t>Speciaal afval (asbest, chemisch)</t>
        </is>
      </c>
      <c r="C10" s="16" t="inlineStr">
        <is>
          <t>duurst, erkende verwerking</t>
        </is>
      </c>
    </row>
    <row r="11">
      <c r="B11" s="16" t="inlineStr">
        <is>
          <t>Opslag</t>
        </is>
      </c>
      <c r="C11" s="16" t="inlineStr">
        <is>
          <t>± 125 €/maand (25 m³)</t>
        </is>
      </c>
    </row>
    <row r="14">
      <c r="B14" s="15" t="inlineStr">
        <is>
          <t>Verlaagt de prijs</t>
        </is>
      </c>
      <c r="C14" s="15" t="inlineStr">
        <is>
          <t>Effect</t>
        </is>
      </c>
    </row>
    <row r="15">
      <c r="B15" s="16" t="inlineStr">
        <is>
          <t>Klant sorteert zelf voor</t>
        </is>
      </c>
      <c r="C15" s="16" t="inlineStr">
        <is>
          <t>−20 – 40%</t>
        </is>
      </c>
    </row>
    <row r="16">
      <c r="B16" s="16" t="inlineStr">
        <is>
          <t>Restwaarde inboedel</t>
        </is>
      </c>
      <c r="C16" s="16" t="inlineStr">
        <is>
          <t>aftrek / opkoop</t>
        </is>
      </c>
    </row>
    <row r="19">
      <c r="B19" s="15" t="inlineStr">
        <is>
          <t>Jouw afvalkosten 2026 (Vlaanderen)</t>
        </is>
      </c>
      <c r="C19" s="15" t="inlineStr">
        <is>
          <t>Tarief</t>
        </is>
      </c>
    </row>
    <row r="20">
      <c r="B20" s="16" t="inlineStr">
        <is>
          <t>Grofvuil</t>
        </is>
      </c>
      <c r="C20" s="16" t="inlineStr">
        <is>
          <t>± 0,35 €/kg</t>
        </is>
      </c>
    </row>
    <row r="21">
      <c r="B21" s="16" t="inlineStr">
        <is>
          <t>Restafval</t>
        </is>
      </c>
      <c r="C21" s="16" t="inlineStr">
        <is>
          <t>± 0,35 €/kg (heffing verdubbelt)</t>
        </is>
      </c>
    </row>
    <row r="22">
      <c r="B22" s="16" t="inlineStr">
        <is>
          <t>Zuiver steenpuin / harde plastics</t>
        </is>
      </c>
      <c r="C22" s="16" t="inlineStr">
        <is>
          <t>± 0,055 €/kg</t>
        </is>
      </c>
    </row>
    <row r="24">
      <c r="B24" s="2" t="inlineStr">
        <is>
          <t>Tarief verschilt per intercommunale (Ivarem, Imog, Limburg.net…). Check je eigen park.</t>
        </is>
      </c>
    </row>
  </sheetData>
  <mergeCells count="2">
    <mergeCell ref="B24:C24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2026-06-17T10:16:24Z</dcterms:created>
  <dcterms:modified xsi:type="dcterms:W3CDTF">2026-06-17T10:16:24Z</dcterms:modified>
</cp:coreProperties>
</file>